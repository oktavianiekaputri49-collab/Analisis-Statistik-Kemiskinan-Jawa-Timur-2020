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F98A01A9-255C-4CAF-B349-F490C4E1FF9B}" xr6:coauthVersionLast="47" xr6:coauthVersionMax="47" xr10:uidLastSave="{00000000-0000-0000-0000-000000000000}"/>
  <bookViews>
    <workbookView xWindow="-110" yWindow="-110" windowWidth="19420" windowHeight="10300" xr2:uid="{DFCBA5CE-8369-48D7-9821-2955633D21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E4" i="1"/>
  <c r="D4" i="1"/>
  <c r="D44" i="1"/>
  <c r="D45" i="1"/>
  <c r="D47" i="1"/>
  <c r="D48" i="1"/>
  <c r="D46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E5" i="1"/>
  <c r="D43" i="1"/>
  <c r="D42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E41" i="1" l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G14" i="1"/>
  <c r="E14" i="1"/>
  <c r="G13" i="1"/>
  <c r="E13" i="1"/>
  <c r="G12" i="1"/>
  <c r="E12" i="1"/>
  <c r="G11" i="1"/>
  <c r="E11" i="1"/>
  <c r="G10" i="1"/>
  <c r="E10" i="1"/>
  <c r="G9" i="1"/>
  <c r="E9" i="1"/>
  <c r="G8" i="1"/>
  <c r="E8" i="1"/>
  <c r="G7" i="1"/>
  <c r="E7" i="1"/>
  <c r="G6" i="1"/>
  <c r="E6" i="1"/>
  <c r="G5" i="1"/>
  <c r="G4" i="1" l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</calcChain>
</file>

<file path=xl/sharedStrings.xml><?xml version="1.0" encoding="utf-8"?>
<sst xmlns="http://schemas.openxmlformats.org/spreadsheetml/2006/main" count="53" uniqueCount="45">
  <si>
    <t>Kabupaten/
Kota</t>
  </si>
  <si>
    <t>Jumlah
 Penduduk (Jiwa)</t>
  </si>
  <si>
    <t>Persentase 
Kemiskinan</t>
  </si>
  <si>
    <t>Kemiskinan 
(Ribuan)</t>
  </si>
  <si>
    <t>Proporsi</t>
  </si>
  <si>
    <t>xi-xbar</t>
  </si>
  <si>
    <t>(xi-xbar)^2</t>
  </si>
  <si>
    <t>Jumlah Kemiskinan di Jawa Timur Tahun 2020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</si>
  <si>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</si>
  <si>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</si>
  <si>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</si>
  <si>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</si>
  <si>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</si>
  <si>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</si>
  <si>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</si>
  <si>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</si>
  <si>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</si>
  <si>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</si>
  <si>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</si>
  <si>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</si>
  <si>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</si>
  <si>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</si>
  <si>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</si>
  <si>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</si>
  <si>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</si>
  <si>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</si>
  <si>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</si>
  <si>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</si>
  <si>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</si>
  <si>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</si>
  <si>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</si>
  <si>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</si>
  <si>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</si>
  <si>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</si>
  <si>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</si>
  <si>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</si>
  <si>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</si>
  <si>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Surabaya</t>
  </si>
  <si>
    <t>Batu</t>
  </si>
  <si>
    <t>Total</t>
  </si>
  <si>
    <t>Rata-rata</t>
  </si>
  <si>
    <t>Total Proporsi</t>
  </si>
  <si>
    <t>Total S^2</t>
  </si>
  <si>
    <t>S^2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</si>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</sst>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164" fontId="3" fillId="0" borderId="0" xfId="1" applyNumberFormat="1" applyFont="1"/>
    <xf numFmtId="2" fontId="3" fillId="0" borderId="0" xfId="0" applyNumberFormat="1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" fontId="2" fillId="0" borderId="0" xfId="0" applyNumberFormat="1" applyFont="1"/>
    <xf numFmtId="43" fontId="2" fillId="0" borderId="0" xfId="1" applyFont="1"/>
    <xf numFmtId="43" fontId="2" fillId="0" borderId="0" xfId="0" applyNumberFormat="1" applyFont="1"/>
    <xf numFmtId="0" fontId="3" fillId="0" borderId="1" xfId="0" applyFont="1" applyBorder="1"/>
    <xf numFmtId="43" fontId="3" fillId="0" borderId="1" xfId="1" applyFont="1" applyBorder="1"/>
    <xf numFmtId="43" fontId="3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B28E7-5FDF-4EFB-9A2F-1F950701AC1A}">
  <dimension ref="A1:G48"/>
  <sheetViews>
    <sheetView tabSelected="1" topLeftCell="A32" zoomScaleNormal="100" workbookViewId="0">
      <selection activeCell="F5" sqref="F5"/>
    </sheetView>
  </sheetViews>
  <sheetFormatPr defaultRowHeight="15.5" x14ac:dyDescent="0.35"/>
  <cols>
    <col min="1" max="1" width="13.1796875" style="4" customWidth="1"/>
    <col min="2" max="2" width="17.36328125" style="4" customWidth="1"/>
    <col min="3" max="3" width="14.54296875" style="4" bestFit="1" customWidth="1"/>
    <col min="4" max="4" width="12.7265625" style="4" customWidth="1"/>
    <col min="5" max="5" width="9.26953125" style="4" customWidth="1"/>
    <col min="6" max="6" width="8.1796875" style="4" customWidth="1"/>
    <col min="7" max="7" width="11.1796875" style="4" customWidth="1"/>
    <col min="8" max="16384" width="8.7265625" style="4"/>
  </cols>
  <sheetData>
    <row r="1" spans="1:7" x14ac:dyDescent="0.35">
      <c r="A1" s="1" t="s">
        <v>7</v>
      </c>
      <c r="B1" s="2"/>
      <c r="C1" s="3"/>
    </row>
    <row r="2" spans="1:7" x14ac:dyDescent="0.35">
      <c r="B2" s="2"/>
      <c r="C2" s="3"/>
    </row>
    <row r="3" spans="1:7" ht="30" x14ac:dyDescent="0.35">
      <c r="A3" s="5" t="s">
        <v>0</v>
      </c>
      <c r="B3" s="6" t="s">
        <v>1</v>
      </c>
      <c r="C3" s="7" t="s">
        <v>2</v>
      </c>
      <c r="D3" s="8" t="s">
        <v>3</v>
      </c>
      <c r="E3" s="9" t="s">
        <v>4</v>
      </c>
      <c r="F3" s="10" t="s">
        <v>5</v>
      </c>
      <c r="G3" s="10" t="s">
        <v>6</v>
      </c>
    </row>
    <row r="4" spans="1:7" x14ac:dyDescent="0.35">
      <c r="A4" s="14" t="s">
        <v>8</v>
      </c>
      <c r="B4" s="14">
        <v>80.819999999999993</v>
      </c>
      <c r="C4" s="14">
        <v>14.54</v>
      </c>
      <c r="D4" s="15">
        <f>C4*B4/100</f>
        <v>11.751227999999999</v>
      </c>
      <c r="E4" s="16">
        <f>D4/B4</f>
        <v>0.1454</v>
      </c>
      <c r="F4" s="16">
        <f>D4-$D$43</f>
        <v>-3.1505588684210544</v>
      </c>
      <c r="G4" s="16">
        <f>F4^2</f>
        <v>9.9260211833865544</v>
      </c>
    </row>
    <row r="5" spans="1:7" x14ac:dyDescent="0.35">
      <c r="A5" s="14" t="s">
        <v>9</v>
      </c>
      <c r="B5" s="14">
        <v>86.74</v>
      </c>
      <c r="C5" s="14">
        <v>9.9499999999999993</v>
      </c>
      <c r="D5" s="15">
        <f t="shared" ref="D5:D41" si="0">C5*B5/100</f>
        <v>8.6306299999999982</v>
      </c>
      <c r="E5" s="16">
        <f>D5/B5</f>
        <v>9.9499999999999991E-2</v>
      </c>
      <c r="F5" s="16">
        <f t="shared" ref="F5:F41" si="1">D5-$D$43</f>
        <v>-6.2711568684210555</v>
      </c>
      <c r="G5" s="16">
        <f t="shared" ref="G5:G41" si="2">F5^2</f>
        <v>39.327408468344579</v>
      </c>
    </row>
    <row r="6" spans="1:7" x14ac:dyDescent="0.35">
      <c r="A6" s="14" t="s">
        <v>10</v>
      </c>
      <c r="B6" s="14">
        <v>81.06</v>
      </c>
      <c r="C6" s="14">
        <v>11.62</v>
      </c>
      <c r="D6" s="15">
        <f t="shared" si="0"/>
        <v>9.4191719999999997</v>
      </c>
      <c r="E6" s="16">
        <f t="shared" ref="E6:E41" si="3">D6/B6</f>
        <v>0.1162</v>
      </c>
      <c r="F6" s="16">
        <f t="shared" si="1"/>
        <v>-5.4826148684210541</v>
      </c>
      <c r="G6" s="16">
        <f t="shared" si="2"/>
        <v>30.059065795431611</v>
      </c>
    </row>
    <row r="7" spans="1:7" x14ac:dyDescent="0.35">
      <c r="A7" s="14" t="s">
        <v>11</v>
      </c>
      <c r="B7" s="14">
        <v>76.400000000000006</v>
      </c>
      <c r="C7" s="14">
        <v>7.33</v>
      </c>
      <c r="D7" s="15">
        <f t="shared" si="0"/>
        <v>5.6001200000000004</v>
      </c>
      <c r="E7" s="16">
        <f t="shared" si="3"/>
        <v>7.3300000000000004E-2</v>
      </c>
      <c r="F7" s="16">
        <f t="shared" si="1"/>
        <v>-9.3016668684210533</v>
      </c>
      <c r="G7" s="16">
        <f t="shared" si="2"/>
        <v>86.521006531081923</v>
      </c>
    </row>
    <row r="8" spans="1:7" x14ac:dyDescent="0.35">
      <c r="A8" s="14" t="s">
        <v>12</v>
      </c>
      <c r="B8" s="14">
        <v>108.55</v>
      </c>
      <c r="C8" s="14">
        <v>9.33</v>
      </c>
      <c r="D8" s="15">
        <f t="shared" si="0"/>
        <v>10.127715</v>
      </c>
      <c r="E8" s="16">
        <f t="shared" si="3"/>
        <v>9.3300000000000008E-2</v>
      </c>
      <c r="F8" s="16">
        <f t="shared" si="1"/>
        <v>-4.7740718684210535</v>
      </c>
      <c r="G8" s="16">
        <f t="shared" si="2"/>
        <v>22.791762204849288</v>
      </c>
    </row>
    <row r="9" spans="1:7" x14ac:dyDescent="0.35">
      <c r="A9" s="14" t="s">
        <v>13</v>
      </c>
      <c r="B9" s="14">
        <v>179.93</v>
      </c>
      <c r="C9" s="14">
        <v>11.4</v>
      </c>
      <c r="D9" s="15">
        <f t="shared" si="0"/>
        <v>20.512020000000003</v>
      </c>
      <c r="E9" s="16">
        <f t="shared" si="3"/>
        <v>0.11400000000000002</v>
      </c>
      <c r="F9" s="16">
        <f t="shared" si="1"/>
        <v>5.6102331315789495</v>
      </c>
      <c r="G9" s="16">
        <f t="shared" si="2"/>
        <v>31.474715790666146</v>
      </c>
    </row>
    <row r="10" spans="1:7" x14ac:dyDescent="0.35">
      <c r="A10" s="14" t="s">
        <v>14</v>
      </c>
      <c r="B10" s="14">
        <v>265.56</v>
      </c>
      <c r="C10" s="14">
        <v>10.15</v>
      </c>
      <c r="D10" s="15">
        <f t="shared" si="0"/>
        <v>26.954340000000002</v>
      </c>
      <c r="E10" s="16">
        <f t="shared" si="3"/>
        <v>0.10150000000000001</v>
      </c>
      <c r="F10" s="16">
        <f t="shared" si="1"/>
        <v>12.052553131578948</v>
      </c>
      <c r="G10" s="16">
        <f t="shared" si="2"/>
        <v>145.26403698953351</v>
      </c>
    </row>
    <row r="11" spans="1:7" x14ac:dyDescent="0.35">
      <c r="A11" s="14" t="s">
        <v>15</v>
      </c>
      <c r="B11" s="14">
        <v>102.6</v>
      </c>
      <c r="C11" s="14">
        <v>9.83</v>
      </c>
      <c r="D11" s="15">
        <f t="shared" si="0"/>
        <v>10.08558</v>
      </c>
      <c r="E11" s="16">
        <f t="shared" si="3"/>
        <v>9.8300000000000012E-2</v>
      </c>
      <c r="F11" s="16">
        <f t="shared" si="1"/>
        <v>-4.8162068684210535</v>
      </c>
      <c r="G11" s="16">
        <f t="shared" si="2"/>
        <v>23.195848599426132</v>
      </c>
    </row>
    <row r="12" spans="1:7" x14ac:dyDescent="0.35">
      <c r="A12" s="14" t="s">
        <v>16</v>
      </c>
      <c r="B12" s="14">
        <v>247.99</v>
      </c>
      <c r="C12" s="14">
        <v>10.09</v>
      </c>
      <c r="D12" s="15">
        <f t="shared" si="0"/>
        <v>25.022191000000003</v>
      </c>
      <c r="E12" s="16">
        <f t="shared" si="3"/>
        <v>0.1009</v>
      </c>
      <c r="F12" s="16">
        <f t="shared" si="1"/>
        <v>10.120404131578949</v>
      </c>
      <c r="G12" s="16">
        <f t="shared" si="2"/>
        <v>102.42257978648027</v>
      </c>
    </row>
    <row r="13" spans="1:7" x14ac:dyDescent="0.35">
      <c r="A13" s="14" t="s">
        <v>17</v>
      </c>
      <c r="B13" s="14">
        <v>130.37</v>
      </c>
      <c r="C13" s="14">
        <v>8.06</v>
      </c>
      <c r="D13" s="15">
        <f t="shared" si="0"/>
        <v>10.507822000000001</v>
      </c>
      <c r="E13" s="16">
        <f t="shared" si="3"/>
        <v>8.0600000000000005E-2</v>
      </c>
      <c r="F13" s="16">
        <f t="shared" si="1"/>
        <v>-4.3939648684210528</v>
      </c>
      <c r="G13" s="16">
        <f t="shared" si="2"/>
        <v>19.306927264918439</v>
      </c>
    </row>
    <row r="14" spans="1:7" x14ac:dyDescent="0.35">
      <c r="A14" s="14" t="s">
        <v>18</v>
      </c>
      <c r="B14" s="14">
        <v>110.24</v>
      </c>
      <c r="C14" s="14">
        <v>14.17</v>
      </c>
      <c r="D14" s="15">
        <f t="shared" si="0"/>
        <v>15.621008</v>
      </c>
      <c r="E14" s="16">
        <f t="shared" si="3"/>
        <v>0.14169999999999999</v>
      </c>
      <c r="F14" s="16">
        <f t="shared" si="1"/>
        <v>0.71922113157894607</v>
      </c>
      <c r="G14" s="16">
        <f t="shared" si="2"/>
        <v>0.51727903610969961</v>
      </c>
    </row>
    <row r="15" spans="1:7" x14ac:dyDescent="0.35">
      <c r="A15" s="14" t="s">
        <v>19</v>
      </c>
      <c r="B15" s="14">
        <v>83.74</v>
      </c>
      <c r="C15" s="14">
        <v>12.22</v>
      </c>
      <c r="D15" s="15">
        <f t="shared" si="0"/>
        <v>10.233028000000001</v>
      </c>
      <c r="E15" s="16">
        <f t="shared" si="3"/>
        <v>0.12220000000000002</v>
      </c>
      <c r="F15" s="16">
        <f t="shared" si="1"/>
        <v>-4.6687588684210528</v>
      </c>
      <c r="G15" s="16">
        <f t="shared" si="2"/>
        <v>21.79730937146023</v>
      </c>
    </row>
    <row r="16" spans="1:7" x14ac:dyDescent="0.35">
      <c r="A16" s="14" t="s">
        <v>20</v>
      </c>
      <c r="B16" s="14">
        <v>218.35</v>
      </c>
      <c r="C16" s="14">
        <v>18.61</v>
      </c>
      <c r="D16" s="15">
        <f t="shared" si="0"/>
        <v>40.634934999999999</v>
      </c>
      <c r="E16" s="16">
        <f t="shared" si="3"/>
        <v>0.18609999999999999</v>
      </c>
      <c r="F16" s="16">
        <f t="shared" si="1"/>
        <v>25.733148131578943</v>
      </c>
      <c r="G16" s="16">
        <f t="shared" si="2"/>
        <v>662.19491276178485</v>
      </c>
    </row>
    <row r="17" spans="1:7" x14ac:dyDescent="0.35">
      <c r="A17" s="14" t="s">
        <v>21</v>
      </c>
      <c r="B17" s="14">
        <v>151.43</v>
      </c>
      <c r="C17" s="14">
        <v>9.26</v>
      </c>
      <c r="D17" s="15">
        <f t="shared" si="0"/>
        <v>14.022418</v>
      </c>
      <c r="E17" s="16">
        <f t="shared" si="3"/>
        <v>9.2600000000000002E-2</v>
      </c>
      <c r="F17" s="16">
        <f t="shared" si="1"/>
        <v>-0.87936886842105366</v>
      </c>
      <c r="G17" s="16">
        <f t="shared" si="2"/>
        <v>0.77328960674812441</v>
      </c>
    </row>
    <row r="18" spans="1:7" x14ac:dyDescent="0.35">
      <c r="A18" s="14" t="s">
        <v>22</v>
      </c>
      <c r="B18" s="14">
        <v>127.05</v>
      </c>
      <c r="C18" s="14">
        <v>5.59</v>
      </c>
      <c r="D18" s="15">
        <f t="shared" si="0"/>
        <v>7.1020949999999994</v>
      </c>
      <c r="E18" s="16">
        <f t="shared" si="3"/>
        <v>5.5899999999999998E-2</v>
      </c>
      <c r="F18" s="16">
        <f t="shared" si="1"/>
        <v>-7.7996918684210543</v>
      </c>
      <c r="G18" s="16">
        <f t="shared" si="2"/>
        <v>60.835193242313515</v>
      </c>
    </row>
    <row r="19" spans="1:7" x14ac:dyDescent="0.35">
      <c r="A19" s="14" t="s">
        <v>23</v>
      </c>
      <c r="B19" s="14">
        <v>118.8</v>
      </c>
      <c r="C19" s="14">
        <v>10.57</v>
      </c>
      <c r="D19" s="15">
        <f t="shared" si="0"/>
        <v>12.55716</v>
      </c>
      <c r="E19" s="16">
        <f t="shared" si="3"/>
        <v>0.1057</v>
      </c>
      <c r="F19" s="16">
        <f t="shared" si="1"/>
        <v>-2.3446268684210541</v>
      </c>
      <c r="G19" s="16">
        <f t="shared" si="2"/>
        <v>5.4972751521219188</v>
      </c>
    </row>
    <row r="20" spans="1:7" x14ac:dyDescent="0.35">
      <c r="A20" s="14" t="s">
        <v>24</v>
      </c>
      <c r="B20" s="14">
        <v>125.94</v>
      </c>
      <c r="C20" s="14">
        <v>9.94</v>
      </c>
      <c r="D20" s="15">
        <f t="shared" si="0"/>
        <v>12.518435999999999</v>
      </c>
      <c r="E20" s="16">
        <f t="shared" si="3"/>
        <v>9.9400000000000002E-2</v>
      </c>
      <c r="F20" s="16">
        <f t="shared" si="1"/>
        <v>-2.3833508684210543</v>
      </c>
      <c r="G20" s="16">
        <f t="shared" si="2"/>
        <v>5.6803613620033939</v>
      </c>
    </row>
    <row r="21" spans="1:7" x14ac:dyDescent="0.35">
      <c r="A21" s="14" t="s">
        <v>25</v>
      </c>
      <c r="B21" s="14">
        <v>122.73</v>
      </c>
      <c r="C21" s="14">
        <v>11.62</v>
      </c>
      <c r="D21" s="15">
        <f t="shared" si="0"/>
        <v>14.261225999999999</v>
      </c>
      <c r="E21" s="16">
        <f t="shared" si="3"/>
        <v>0.11619999999999998</v>
      </c>
      <c r="F21" s="16">
        <f t="shared" si="1"/>
        <v>-0.64056086842105486</v>
      </c>
      <c r="G21" s="16">
        <f t="shared" si="2"/>
        <v>0.41031822615233599</v>
      </c>
    </row>
    <row r="22" spans="1:7" x14ac:dyDescent="0.35">
      <c r="A22" s="14" t="s">
        <v>26</v>
      </c>
      <c r="B22" s="14">
        <v>78.3</v>
      </c>
      <c r="C22" s="14">
        <v>11.46</v>
      </c>
      <c r="D22" s="15">
        <f t="shared" si="0"/>
        <v>8.9731799999999993</v>
      </c>
      <c r="E22" s="16">
        <f t="shared" si="3"/>
        <v>0.11459999999999999</v>
      </c>
      <c r="F22" s="16">
        <f t="shared" si="1"/>
        <v>-5.9286068684210544</v>
      </c>
      <c r="G22" s="16">
        <f t="shared" si="2"/>
        <v>35.148379400289301</v>
      </c>
    </row>
    <row r="23" spans="1:7" x14ac:dyDescent="0.35">
      <c r="A23" s="14" t="s">
        <v>27</v>
      </c>
      <c r="B23" s="14">
        <v>65.09</v>
      </c>
      <c r="C23" s="14">
        <v>10.35</v>
      </c>
      <c r="D23" s="15">
        <f t="shared" si="0"/>
        <v>6.736815</v>
      </c>
      <c r="E23" s="16">
        <f t="shared" si="3"/>
        <v>0.10349999999999999</v>
      </c>
      <c r="F23" s="16">
        <f t="shared" si="1"/>
        <v>-8.1649718684210537</v>
      </c>
      <c r="G23" s="16">
        <f t="shared" si="2"/>
        <v>66.666765612107199</v>
      </c>
    </row>
    <row r="24" spans="1:7" x14ac:dyDescent="0.35">
      <c r="A24" s="14" t="s">
        <v>28</v>
      </c>
      <c r="B24" s="14">
        <v>128.19</v>
      </c>
      <c r="C24" s="14">
        <v>15.44</v>
      </c>
      <c r="D24" s="15">
        <f t="shared" si="0"/>
        <v>19.792535999999998</v>
      </c>
      <c r="E24" s="16">
        <f t="shared" si="3"/>
        <v>0.15439999999999998</v>
      </c>
      <c r="F24" s="16">
        <f t="shared" si="1"/>
        <v>4.8907491315789446</v>
      </c>
      <c r="G24" s="16">
        <f t="shared" si="2"/>
        <v>23.9194270680402</v>
      </c>
    </row>
    <row r="25" spans="1:7" x14ac:dyDescent="0.35">
      <c r="A25" s="14" t="s">
        <v>29</v>
      </c>
      <c r="B25" s="14">
        <v>161.1</v>
      </c>
      <c r="C25" s="14">
        <v>12.87</v>
      </c>
      <c r="D25" s="15">
        <f t="shared" si="0"/>
        <v>20.73357</v>
      </c>
      <c r="E25" s="16">
        <f t="shared" si="3"/>
        <v>0.12870000000000001</v>
      </c>
      <c r="F25" s="16">
        <f t="shared" si="1"/>
        <v>5.8317831315789466</v>
      </c>
      <c r="G25" s="16">
        <f t="shared" si="2"/>
        <v>34.009694493768748</v>
      </c>
    </row>
    <row r="26" spans="1:7" x14ac:dyDescent="0.35">
      <c r="A26" s="14" t="s">
        <v>30</v>
      </c>
      <c r="B26" s="14">
        <v>187.13</v>
      </c>
      <c r="C26" s="14">
        <v>15.91</v>
      </c>
      <c r="D26" s="15">
        <f t="shared" si="0"/>
        <v>29.772383000000001</v>
      </c>
      <c r="E26" s="16">
        <f t="shared" si="3"/>
        <v>0.15910000000000002</v>
      </c>
      <c r="F26" s="16">
        <f t="shared" si="1"/>
        <v>14.870596131578948</v>
      </c>
      <c r="G26" s="16">
        <f t="shared" si="2"/>
        <v>221.13462930853078</v>
      </c>
    </row>
    <row r="27" spans="1:7" x14ac:dyDescent="0.35">
      <c r="A27" s="14" t="s">
        <v>31</v>
      </c>
      <c r="B27" s="14">
        <v>164.68</v>
      </c>
      <c r="C27" s="14">
        <v>13.85</v>
      </c>
      <c r="D27" s="15">
        <f t="shared" si="0"/>
        <v>22.808180000000004</v>
      </c>
      <c r="E27" s="16">
        <f t="shared" si="3"/>
        <v>0.13850000000000001</v>
      </c>
      <c r="F27" s="16">
        <f t="shared" si="1"/>
        <v>7.90639313157895</v>
      </c>
      <c r="G27" s="16">
        <f t="shared" si="2"/>
        <v>62.511052351078796</v>
      </c>
    </row>
    <row r="28" spans="1:7" x14ac:dyDescent="0.35">
      <c r="A28" s="14" t="s">
        <v>32</v>
      </c>
      <c r="B28" s="14">
        <v>164.05</v>
      </c>
      <c r="C28" s="14">
        <v>12.4</v>
      </c>
      <c r="D28" s="15">
        <f t="shared" si="0"/>
        <v>20.342200000000002</v>
      </c>
      <c r="E28" s="16">
        <f t="shared" si="3"/>
        <v>0.124</v>
      </c>
      <c r="F28" s="16">
        <f t="shared" si="1"/>
        <v>5.4404131315789481</v>
      </c>
      <c r="G28" s="16">
        <f t="shared" si="2"/>
        <v>29.598095042256656</v>
      </c>
    </row>
    <row r="29" spans="1:7" x14ac:dyDescent="0.35">
      <c r="A29" s="14" t="s">
        <v>33</v>
      </c>
      <c r="B29" s="14">
        <v>204</v>
      </c>
      <c r="C29" s="14">
        <v>20.56</v>
      </c>
      <c r="D29" s="15">
        <f t="shared" si="0"/>
        <v>41.942399999999999</v>
      </c>
      <c r="E29" s="16">
        <f t="shared" si="3"/>
        <v>0.2056</v>
      </c>
      <c r="F29" s="16">
        <f t="shared" si="1"/>
        <v>27.040613131578944</v>
      </c>
      <c r="G29" s="16">
        <f t="shared" si="2"/>
        <v>731.19475853171957</v>
      </c>
    </row>
    <row r="30" spans="1:7" x14ac:dyDescent="0.35">
      <c r="A30" s="14" t="s">
        <v>34</v>
      </c>
      <c r="B30" s="14">
        <v>224.74</v>
      </c>
      <c r="C30" s="14">
        <v>22.78</v>
      </c>
      <c r="D30" s="15">
        <f t="shared" si="0"/>
        <v>51.195772000000005</v>
      </c>
      <c r="E30" s="16">
        <f t="shared" si="3"/>
        <v>0.2278</v>
      </c>
      <c r="F30" s="16">
        <f t="shared" si="1"/>
        <v>36.29398513157895</v>
      </c>
      <c r="G30" s="16">
        <f t="shared" si="2"/>
        <v>1317.2533567312739</v>
      </c>
    </row>
    <row r="31" spans="1:7" x14ac:dyDescent="0.35">
      <c r="A31" s="14" t="s">
        <v>35</v>
      </c>
      <c r="B31" s="14">
        <v>129.41</v>
      </c>
      <c r="C31" s="14">
        <v>14.6</v>
      </c>
      <c r="D31" s="15">
        <f t="shared" si="0"/>
        <v>18.89386</v>
      </c>
      <c r="E31" s="16">
        <f t="shared" si="3"/>
        <v>0.14599999999999999</v>
      </c>
      <c r="F31" s="16">
        <f t="shared" si="1"/>
        <v>3.9920731315789464</v>
      </c>
      <c r="G31" s="16">
        <f t="shared" si="2"/>
        <v>15.936647887874535</v>
      </c>
    </row>
    <row r="32" spans="1:7" x14ac:dyDescent="0.35">
      <c r="A32" s="14" t="s">
        <v>36</v>
      </c>
      <c r="B32" s="14">
        <v>220.23</v>
      </c>
      <c r="C32" s="14">
        <v>20.18</v>
      </c>
      <c r="D32" s="15">
        <f t="shared" si="0"/>
        <v>44.442413999999999</v>
      </c>
      <c r="E32" s="16">
        <f t="shared" si="3"/>
        <v>0.20180000000000001</v>
      </c>
      <c r="F32" s="16">
        <f t="shared" si="1"/>
        <v>29.540627131578944</v>
      </c>
      <c r="G32" s="16">
        <f t="shared" si="2"/>
        <v>872.64865132697798</v>
      </c>
    </row>
    <row r="33" spans="1:7" x14ac:dyDescent="0.35">
      <c r="A33" s="14" t="s">
        <v>13</v>
      </c>
      <c r="B33" s="14">
        <v>22.19</v>
      </c>
      <c r="C33" s="14">
        <v>7.69</v>
      </c>
      <c r="D33" s="15">
        <f t="shared" si="0"/>
        <v>1.7064110000000001</v>
      </c>
      <c r="E33" s="16">
        <f t="shared" si="3"/>
        <v>7.6899999999999996E-2</v>
      </c>
      <c r="F33" s="16">
        <f t="shared" si="1"/>
        <v>-13.195375868421053</v>
      </c>
      <c r="G33" s="16">
        <f t="shared" si="2"/>
        <v>174.11794430890865</v>
      </c>
    </row>
    <row r="34" spans="1:7" x14ac:dyDescent="0.35">
      <c r="A34" s="14" t="s">
        <v>12</v>
      </c>
      <c r="B34" s="14">
        <v>11.1</v>
      </c>
      <c r="C34" s="14">
        <v>7.78</v>
      </c>
      <c r="D34" s="15">
        <f t="shared" si="0"/>
        <v>0.86358000000000001</v>
      </c>
      <c r="E34" s="16">
        <f t="shared" si="3"/>
        <v>7.7800000000000008E-2</v>
      </c>
      <c r="F34" s="16">
        <f t="shared" si="1"/>
        <v>-14.038206868421053</v>
      </c>
      <c r="G34" s="16">
        <f t="shared" si="2"/>
        <v>197.07125208058403</v>
      </c>
    </row>
    <row r="35" spans="1:7" x14ac:dyDescent="0.35">
      <c r="A35" s="14" t="s">
        <v>14</v>
      </c>
      <c r="B35" s="14">
        <v>38.770000000000003</v>
      </c>
      <c r="C35" s="14">
        <v>4.4400000000000004</v>
      </c>
      <c r="D35" s="15">
        <f t="shared" si="0"/>
        <v>1.7213880000000004</v>
      </c>
      <c r="E35" s="16">
        <f t="shared" si="3"/>
        <v>4.4400000000000009E-2</v>
      </c>
      <c r="F35" s="16">
        <f t="shared" si="1"/>
        <v>-13.180398868421053</v>
      </c>
      <c r="G35" s="16">
        <f t="shared" si="2"/>
        <v>173.72291433067497</v>
      </c>
    </row>
    <row r="36" spans="1:7" x14ac:dyDescent="0.35">
      <c r="A36" s="14" t="s">
        <v>20</v>
      </c>
      <c r="B36" s="14">
        <v>17.72</v>
      </c>
      <c r="C36" s="14">
        <v>7.43</v>
      </c>
      <c r="D36" s="15">
        <f t="shared" si="0"/>
        <v>1.3165959999999999</v>
      </c>
      <c r="E36" s="16">
        <f t="shared" si="3"/>
        <v>7.4299999999999991E-2</v>
      </c>
      <c r="F36" s="16">
        <f t="shared" si="1"/>
        <v>-13.585190868421053</v>
      </c>
      <c r="G36" s="16">
        <f t="shared" si="2"/>
        <v>184.55741093143078</v>
      </c>
    </row>
    <row r="37" spans="1:7" x14ac:dyDescent="0.35">
      <c r="A37" s="14" t="s">
        <v>21</v>
      </c>
      <c r="B37" s="14">
        <v>13.4</v>
      </c>
      <c r="C37" s="14">
        <v>6.66</v>
      </c>
      <c r="D37" s="15">
        <f t="shared" si="0"/>
        <v>0.89244000000000001</v>
      </c>
      <c r="E37" s="16">
        <f t="shared" si="3"/>
        <v>6.6599999999999993E-2</v>
      </c>
      <c r="F37" s="16">
        <f t="shared" si="1"/>
        <v>-14.009346868421053</v>
      </c>
      <c r="G37" s="16">
        <f t="shared" si="2"/>
        <v>196.26179967973877</v>
      </c>
    </row>
    <row r="38" spans="1:7" x14ac:dyDescent="0.35">
      <c r="A38" s="14" t="s">
        <v>23</v>
      </c>
      <c r="B38" s="14">
        <v>8.09</v>
      </c>
      <c r="C38" s="14">
        <v>6.24</v>
      </c>
      <c r="D38" s="15">
        <f t="shared" si="0"/>
        <v>0.50481600000000004</v>
      </c>
      <c r="E38" s="16">
        <f t="shared" si="3"/>
        <v>6.2400000000000004E-2</v>
      </c>
      <c r="F38" s="16">
        <f t="shared" si="1"/>
        <v>-14.396970868421054</v>
      </c>
      <c r="G38" s="16">
        <f t="shared" si="2"/>
        <v>207.27277018616448</v>
      </c>
    </row>
    <row r="39" spans="1:7" x14ac:dyDescent="0.35">
      <c r="A39" s="14" t="s">
        <v>26</v>
      </c>
      <c r="B39" s="14">
        <v>8.83</v>
      </c>
      <c r="C39" s="14">
        <v>4.9800000000000004</v>
      </c>
      <c r="D39" s="15">
        <f t="shared" si="0"/>
        <v>0.43973400000000007</v>
      </c>
      <c r="E39" s="16">
        <f t="shared" si="3"/>
        <v>4.9800000000000004E-2</v>
      </c>
      <c r="F39" s="16">
        <f t="shared" si="1"/>
        <v>-14.462052868421054</v>
      </c>
      <c r="G39" s="16">
        <f t="shared" si="2"/>
        <v>209.15097316900562</v>
      </c>
    </row>
    <row r="40" spans="1:7" x14ac:dyDescent="0.35">
      <c r="A40" s="14" t="s">
        <v>37</v>
      </c>
      <c r="B40" s="14">
        <v>145.66999999999999</v>
      </c>
      <c r="C40" s="14">
        <v>5.0199999999999996</v>
      </c>
      <c r="D40" s="15">
        <f t="shared" si="0"/>
        <v>7.3126339999999983</v>
      </c>
      <c r="E40" s="16">
        <f t="shared" si="3"/>
        <v>5.0199999999999995E-2</v>
      </c>
      <c r="F40" s="16">
        <f t="shared" si="1"/>
        <v>-7.5891528684210554</v>
      </c>
      <c r="G40" s="16">
        <f t="shared" si="2"/>
        <v>57.595241260263535</v>
      </c>
    </row>
    <row r="41" spans="1:7" x14ac:dyDescent="0.35">
      <c r="A41" s="14" t="s">
        <v>38</v>
      </c>
      <c r="B41" s="14">
        <v>8.1199999999999992</v>
      </c>
      <c r="C41" s="14">
        <v>3.89</v>
      </c>
      <c r="D41" s="15">
        <f t="shared" si="0"/>
        <v>0.31586799999999998</v>
      </c>
      <c r="E41" s="16">
        <f t="shared" si="3"/>
        <v>3.8900000000000004E-2</v>
      </c>
      <c r="F41" s="16">
        <f t="shared" si="1"/>
        <v>-14.585918868421054</v>
      </c>
      <c r="G41" s="16">
        <f t="shared" si="2"/>
        <v>212.74902923616131</v>
      </c>
    </row>
    <row r="42" spans="1:7" x14ac:dyDescent="0.35">
      <c r="C42" s="11" t="s">
        <v>39</v>
      </c>
      <c r="D42" s="12">
        <f>SUM(D4:D41)</f>
        <v>566.26790100000005</v>
      </c>
    </row>
    <row r="43" spans="1:7" x14ac:dyDescent="0.35">
      <c r="C43" s="11" t="s">
        <v>40</v>
      </c>
      <c r="D43" s="13">
        <f>AVERAGE(D4:D41)</f>
        <v>14.901786868421054</v>
      </c>
    </row>
    <row r="44" spans="1:7" x14ac:dyDescent="0.35">
      <c r="C44" s="11" t="s">
        <v>41</v>
      </c>
      <c r="D44" s="13">
        <f>SUM(E4:E41)</f>
        <v>4.1881000000000004</v>
      </c>
    </row>
    <row r="45" spans="1:7" x14ac:dyDescent="0.35">
      <c r="C45" s="11" t="s">
        <v>4</v>
      </c>
      <c r="D45" s="13">
        <f>D44/38</f>
        <v>0.11021315789473685</v>
      </c>
    </row>
    <row r="46" spans="1:7" x14ac:dyDescent="0.35">
      <c r="C46" s="11" t="s">
        <v>42</v>
      </c>
      <c r="D46" s="12">
        <f>SUM(G4:G41)</f>
        <v>6290.5161043096632</v>
      </c>
    </row>
    <row r="47" spans="1:7" x14ac:dyDescent="0.35">
      <c r="C47" s="11" t="s">
        <v>43</v>
      </c>
      <c r="D47" s="13">
        <f>D46/37</f>
        <v>170.01394876512603</v>
      </c>
    </row>
    <row r="48" spans="1:7" x14ac:dyDescent="0.35">
      <c r="C48" s="11" t="s">
        <v>44</v>
      </c>
      <c r="D48" s="13">
        <f>1-D45</f>
        <v>0.88978684210526315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2026-05-31T17:15:46Z</dcterms:created>
  <dcterms:modified xsi:type="dcterms:W3CDTF">2026-06-01T06:26:51Z</dcterms:modified>
</cp:coreProperties>
</file>